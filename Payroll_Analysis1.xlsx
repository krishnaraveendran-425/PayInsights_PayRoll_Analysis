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Overtime_Analysis" sheetId="5" r:id="rId1"/>
    <sheet name="Net_Salary_Analysis" sheetId="6" r:id="rId2"/>
    <sheet name="Department_Analysis1" sheetId="7" r:id="rId3"/>
    <sheet name="Average_Salary" sheetId="8" r:id="rId4"/>
    <sheet name="Payroll_Data" sheetId="1" r:id="rId5"/>
  </sheets>
  <definedNames>
    <definedName name="_xlnm._FilterDatabase" localSheetId="4" hidden="1">Payroll_Data!$A$1:$P$31</definedName>
  </definedName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S17" i="1" l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R28" i="1"/>
  <c r="R29" i="1"/>
  <c r="R30" i="1"/>
  <c r="R3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Q21" i="1"/>
  <c r="Q22" i="1"/>
  <c r="Q23" i="1"/>
  <c r="Q24" i="1"/>
  <c r="Q25" i="1"/>
  <c r="Q26" i="1"/>
  <c r="Q27" i="1"/>
  <c r="Q28" i="1"/>
  <c r="Q29" i="1"/>
  <c r="Q30" i="1"/>
  <c r="Q31" i="1"/>
  <c r="Q14" i="1"/>
  <c r="Q15" i="1"/>
  <c r="Q16" i="1"/>
  <c r="Q17" i="1"/>
  <c r="Q18" i="1"/>
  <c r="Q19" i="1"/>
  <c r="Q20" i="1"/>
  <c r="Q3" i="1"/>
  <c r="Q4" i="1"/>
  <c r="Q5" i="1"/>
  <c r="Q6" i="1"/>
  <c r="Q7" i="1"/>
  <c r="Q8" i="1"/>
  <c r="Q9" i="1"/>
  <c r="Q10" i="1"/>
  <c r="Q11" i="1"/>
  <c r="Q12" i="1"/>
  <c r="Q13" i="1"/>
  <c r="Q2" i="1"/>
</calcChain>
</file>

<file path=xl/sharedStrings.xml><?xml version="1.0" encoding="utf-8"?>
<sst xmlns="http://schemas.openxmlformats.org/spreadsheetml/2006/main" count="209" uniqueCount="123">
  <si>
    <t>Employee_ID</t>
  </si>
  <si>
    <t>Employee_Name</t>
  </si>
  <si>
    <t>Department</t>
  </si>
  <si>
    <t>Job_Role</t>
  </si>
  <si>
    <t>Pay_Month</t>
  </si>
  <si>
    <t>Basic_Salary</t>
  </si>
  <si>
    <t>HRA</t>
  </si>
  <si>
    <t>Other_Allowances</t>
  </si>
  <si>
    <t>Overtime_Hours</t>
  </si>
  <si>
    <t>Overtime_Pay</t>
  </si>
  <si>
    <t>Gross_Salary</t>
  </si>
  <si>
    <t>PF_Deduction</t>
  </si>
  <si>
    <t>Tax_Deduction</t>
  </si>
  <si>
    <t>Other_Deductions</t>
  </si>
  <si>
    <t>Total_Deductions</t>
  </si>
  <si>
    <t>Net_Salary</t>
  </si>
  <si>
    <t>E001</t>
  </si>
  <si>
    <t>Aarav Sharma</t>
  </si>
  <si>
    <t>IT</t>
  </si>
  <si>
    <t>Software Developer</t>
  </si>
  <si>
    <t>2026-09</t>
  </si>
  <si>
    <t>E002</t>
  </si>
  <si>
    <t>Diya Nair</t>
  </si>
  <si>
    <t>HR</t>
  </si>
  <si>
    <t>HR Executive</t>
  </si>
  <si>
    <t>E003</t>
  </si>
  <si>
    <t>Rohan Patel</t>
  </si>
  <si>
    <t>Finance</t>
  </si>
  <si>
    <t>Accountant</t>
  </si>
  <si>
    <t>E004</t>
  </si>
  <si>
    <t>Ananya Iyer</t>
  </si>
  <si>
    <t>Sales</t>
  </si>
  <si>
    <t>Sales Executive</t>
  </si>
  <si>
    <t>E005</t>
  </si>
  <si>
    <t>Vikram Reddy</t>
  </si>
  <si>
    <t>Operations</t>
  </si>
  <si>
    <t>Operations Analyst</t>
  </si>
  <si>
    <t>E006</t>
  </si>
  <si>
    <t>Meera Menon</t>
  </si>
  <si>
    <t>Data Analyst</t>
  </si>
  <si>
    <t>E007</t>
  </si>
  <si>
    <t>Arjun Das</t>
  </si>
  <si>
    <t>Marketing</t>
  </si>
  <si>
    <t>Marketing Associate</t>
  </si>
  <si>
    <t>E008</t>
  </si>
  <si>
    <t>Ishita Rao</t>
  </si>
  <si>
    <t>Financial Analyst</t>
  </si>
  <si>
    <t>E009</t>
  </si>
  <si>
    <t>Kiran Kumar</t>
  </si>
  <si>
    <t>Customer Support</t>
  </si>
  <si>
    <t>Support Associate</t>
  </si>
  <si>
    <t>E010</t>
  </si>
  <si>
    <t>Sana Khan</t>
  </si>
  <si>
    <t>QA Tester</t>
  </si>
  <si>
    <t>E011</t>
  </si>
  <si>
    <t>Aditya Joshi</t>
  </si>
  <si>
    <t>Recruiter</t>
  </si>
  <si>
    <t>E012</t>
  </si>
  <si>
    <t>Nisha Pillai</t>
  </si>
  <si>
    <t>Process Coordinator</t>
  </si>
  <si>
    <t>E013</t>
  </si>
  <si>
    <t>Rahul Verma</t>
  </si>
  <si>
    <t>Account Executive</t>
  </si>
  <si>
    <t>E014</t>
  </si>
  <si>
    <t>Pooja Shetty</t>
  </si>
  <si>
    <t>Digital Marketing Executive</t>
  </si>
  <si>
    <t>E015</t>
  </si>
  <si>
    <t>Siddharth Rao</t>
  </si>
  <si>
    <t>Support Engineer</t>
  </si>
  <si>
    <t>E016</t>
  </si>
  <si>
    <t>Lakshmi Krishnan</t>
  </si>
  <si>
    <t>Payroll Associate</t>
  </si>
  <si>
    <t>E017</t>
  </si>
  <si>
    <t>Neel Shah</t>
  </si>
  <si>
    <t>Logistics Coordinator</t>
  </si>
  <si>
    <t>E018</t>
  </si>
  <si>
    <t>Tara Fernandes</t>
  </si>
  <si>
    <t>Customer Service Executive</t>
  </si>
  <si>
    <t>E019</t>
  </si>
  <si>
    <t>Manav Gupta</t>
  </si>
  <si>
    <t>Junior Developer</t>
  </si>
  <si>
    <t>E020</t>
  </si>
  <si>
    <t>Aisha Thomas</t>
  </si>
  <si>
    <t>HR Analyst</t>
  </si>
  <si>
    <t>E021</t>
  </si>
  <si>
    <t>Dev Malhotra</t>
  </si>
  <si>
    <t>Sales Analyst</t>
  </si>
  <si>
    <t>E022</t>
  </si>
  <si>
    <t>Riya Chawla</t>
  </si>
  <si>
    <t>Content Specialist</t>
  </si>
  <si>
    <t>E023</t>
  </si>
  <si>
    <t>Kabir Singh</t>
  </si>
  <si>
    <t>Accounts Executive</t>
  </si>
  <si>
    <t>E024</t>
  </si>
  <si>
    <t>Sneha Bhat</t>
  </si>
  <si>
    <t>Operations Associate</t>
  </si>
  <si>
    <t>E025</t>
  </si>
  <si>
    <t>Yash Mehta</t>
  </si>
  <si>
    <t>System Administrator</t>
  </si>
  <si>
    <t>E026</t>
  </si>
  <si>
    <t>Maya George</t>
  </si>
  <si>
    <t>Support Analyst</t>
  </si>
  <si>
    <t>E027</t>
  </si>
  <si>
    <t>Ibrahim Ali</t>
  </si>
  <si>
    <t>Business Development Executive</t>
  </si>
  <si>
    <t>E028</t>
  </si>
  <si>
    <t>Kavya Suresh</t>
  </si>
  <si>
    <t>Marketing Analyst</t>
  </si>
  <si>
    <t>E029</t>
  </si>
  <si>
    <t>Pranav Kulkarni</t>
  </si>
  <si>
    <t>Junior Auditor</t>
  </si>
  <si>
    <t>E030</t>
  </si>
  <si>
    <t>Eva Mathew</t>
  </si>
  <si>
    <t>Workforce Coordinator</t>
  </si>
  <si>
    <t>Gross_salary_check</t>
  </si>
  <si>
    <t>Deduction_Check</t>
  </si>
  <si>
    <t>Net_Salary_Check</t>
  </si>
  <si>
    <t>Row Labels</t>
  </si>
  <si>
    <t>Grand Total</t>
  </si>
  <si>
    <t>Sum of Gross_Salary</t>
  </si>
  <si>
    <t>Average of Gross_Salary</t>
  </si>
  <si>
    <t>Sum of Overtime_Pay</t>
  </si>
  <si>
    <t>Sum of Net_Salary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</si>
</sst>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[Payroll_Analysis1.xlsx]Department_Analysis1!PivotTable6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Total Gross Salary by Department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Department_Analysis1!$A$4:$A$11</c:f>
              <c:strCache>
                <c:ptCount val="7"/>
                <c:pt idx="0">
                  <c:v>IT</c:v>
                </c:pt>
                <c:pt idx="1">
                  <c:v>Finance</c:v>
                </c:pt>
                <c:pt idx="2">
                  <c:v>Operations</c:v>
                </c:pt>
                <c:pt idx="3">
                  <c:v>Sales</c:v>
                </c:pt>
                <c:pt idx="4">
                  <c:v>Marketing</c:v>
                </c:pt>
                <c:pt idx="5">
                  <c:v>HR</c:v>
                </c:pt>
                <c:pt idx="6">
                  <c:v>Customer Support</c:v>
                </c:pt>
              </c:strCache>
            </c:strRef>
          </c:cat>
          <c:val>
            <c:numRef>
              <c:f>Department_Analysis1!$B$4:$B$11</c:f>
              <c:numCache>
                <c:formatCode>General</c:formatCode>
                <c:ptCount val="7"/>
                <c:pt idx="0">
                  <c:v>253750</c:v>
                </c:pt>
                <c:pt idx="1">
                  <c:v>193945</c:v>
                </c:pt>
                <c:pt idx="2">
                  <c:v>173345</c:v>
                </c:pt>
                <c:pt idx="3">
                  <c:v>160525</c:v>
                </c:pt>
                <c:pt idx="4">
                  <c:v>149300</c:v>
                </c:pt>
                <c:pt idx="5">
                  <c:v>112225</c:v>
                </c:pt>
                <c:pt idx="6">
                  <c:v>94015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658432"/>
        <c:axId val="218902528"/>
      </c:barChart>
      <c:catAx>
        <c:axId val="2106584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8902528"/>
        <c:crosses val="autoZero"/>
        <c:auto val="1"/>
        <c:lblAlgn val="ctr"/>
        <c:lblOffset val="100"/>
        <c:noMultiLvlLbl val="0"/>
      </c:catAx>
      <c:valAx>
        <c:axId val="21890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65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[Payroll_Analysis1.xlsx]Average_Salary!PivotTable7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Average Gross Salary by Department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Average_Salary!$B$3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Average_Salary!$A$4:$A$11</c:f>
              <c:strCache>
                <c:ptCount val="7"/>
                <c:pt idx="0">
                  <c:v>IT</c:v>
                </c:pt>
                <c:pt idx="1">
                  <c:v>Sales</c:v>
                </c:pt>
                <c:pt idx="2">
                  <c:v>Finance</c:v>
                </c:pt>
                <c:pt idx="3">
                  <c:v>HR</c:v>
                </c:pt>
                <c:pt idx="4">
                  <c:v>Marketing</c:v>
                </c:pt>
                <c:pt idx="5">
                  <c:v>Operations</c:v>
                </c:pt>
                <c:pt idx="6">
                  <c:v>Customer Support</c:v>
                </c:pt>
              </c:strCache>
            </c:strRef>
          </c:cat>
          <c:val>
            <c:numRef>
              <c:f>Average_Salary!$B$4:$B$11</c:f>
              <c:numCache>
                <c:formatCode>0</c:formatCode>
                <c:ptCount val="7"/>
                <c:pt idx="0">
                  <c:v>42291.666666666664</c:v>
                </c:pt>
                <c:pt idx="1">
                  <c:v>40131.25</c:v>
                </c:pt>
                <c:pt idx="2">
                  <c:v>38789</c:v>
                </c:pt>
                <c:pt idx="3">
                  <c:v>37408.333333333336</c:v>
                </c:pt>
                <c:pt idx="4">
                  <c:v>37325</c:v>
                </c:pt>
                <c:pt idx="5">
                  <c:v>34669</c:v>
                </c:pt>
                <c:pt idx="6">
                  <c:v>31338.333333333332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8771456"/>
        <c:axId val="218774144"/>
      </c:barChart>
      <c:catAx>
        <c:axId val="21877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18774144"/>
        <c:crosses val="autoZero"/>
        <c:auto val="1"/>
        <c:lblAlgn val="ctr"/>
        <c:lblOffset val="100"/>
        <c:noMultiLvlLbl val="0"/>
      </c:catAx>
      <c:valAx>
        <c:axId val="218774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87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5</xdr:row>
      <xdr:rowOff>142875</xdr:rowOff>
    </xdr:from>
    <xdr:to>
      <xdr:col>10</xdr:col>
      <xdr:colOff>238125</xdr:colOff>
      <xdr:row>20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5</xdr:row>
      <xdr:rowOff>142875</xdr:rowOff>
    </xdr:from>
    <xdr:to>
      <xdr:col>10</xdr:col>
      <xdr:colOff>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RISH" refreshedDate="46319.814747800927" createdVersion="4" refreshedVersion="4" minRefreshableVersion="3" recordCount="30">
  <cacheSource type="worksheet">
    <worksheetSource ref="A1:S31" sheet="Payroll_Data"/>
  </cacheSource>
  <cacheFields count="19">
    <cacheField name="Employee_ID" numFmtId="0">
      <sharedItems/>
    </cacheField>
    <cacheField name="Employee_Name" numFmtId="0">
      <sharedItems/>
    </cacheField>
    <cacheField name="Department" numFmtId="0">
      <sharedItems count="7">
        <s v="IT"/>
        <s v="HR"/>
        <s v="Finance"/>
        <s v="Sales"/>
        <s v="Operations"/>
        <s v="Marketing"/>
        <s v="Customer Support"/>
      </sharedItems>
    </cacheField>
    <cacheField name="Job_Role" numFmtId="0">
      <sharedItems/>
    </cacheField>
    <cacheField name="Pay_Month" numFmtId="0">
      <sharedItems/>
    </cacheField>
    <cacheField name="Basic_Salary" numFmtId="3">
      <sharedItems containsSemiMixedTypes="0" containsString="0" containsNumber="1" containsInteger="1" minValue="22000" maxValue="36000"/>
    </cacheField>
    <cacheField name="HRA" numFmtId="3">
      <sharedItems containsSemiMixedTypes="0" containsString="0" containsNumber="1" containsInteger="1" minValue="5500" maxValue="9000"/>
    </cacheField>
    <cacheField name="Other_Allowances" numFmtId="3">
      <sharedItems containsSemiMixedTypes="0" containsString="0" containsNumber="1" containsInteger="1" minValue="1500" maxValue="4000"/>
    </cacheField>
    <cacheField name="Overtime_Hours" numFmtId="3">
      <sharedItems containsSemiMixedTypes="0" containsString="0" containsNumber="1" containsInteger="1" minValue="1" maxValue="9"/>
    </cacheField>
    <cacheField name="Overtime_Pay" numFmtId="3">
      <sharedItems containsSemiMixedTypes="0" containsString="0" containsNumber="1" containsInteger="1" minValue="180" maxValue="1620"/>
    </cacheField>
    <cacheField name="Gross_Salary" numFmtId="3">
      <sharedItems containsSemiMixedTypes="0" containsString="0" containsNumber="1" containsInteger="1" minValue="30180" maxValue="48160"/>
    </cacheField>
    <cacheField name="PF_Deduction" numFmtId="3">
      <sharedItems containsSemiMixedTypes="0" containsString="0" containsNumber="1" containsInteger="1" minValue="2640" maxValue="4320"/>
    </cacheField>
    <cacheField name="Tax_Deduction" numFmtId="3">
      <sharedItems containsSemiMixedTypes="0" containsString="0" containsNumber="1" containsInteger="1" minValue="1509" maxValue="3853"/>
    </cacheField>
    <cacheField name="Other_Deductions" numFmtId="3">
      <sharedItems containsSemiMixedTypes="0" containsString="0" containsNumber="1" containsInteger="1" minValue="500" maxValue="800"/>
    </cacheField>
    <cacheField name="Total_Deductions" numFmtId="3">
      <sharedItems containsSemiMixedTypes="0" containsString="0" containsNumber="1" containsInteger="1" minValue="4649" maxValue="8973"/>
    </cacheField>
    <cacheField name="Net_Salary" numFmtId="3">
      <sharedItems containsSemiMixedTypes="0" containsString="0" containsNumber="1" containsInteger="1" minValue="25531" maxValue="39187"/>
    </cacheField>
    <cacheField name="Gross_salary_check" numFmtId="3">
      <sharedItems containsSemiMixedTypes="0" containsString="0" containsNumber="1" containsInteger="1" minValue="30180" maxValue="48160"/>
    </cacheField>
    <cacheField name="Deduction_Check" numFmtId="3">
      <sharedItems containsSemiMixedTypes="0" containsString="0" containsNumber="1" containsInteger="1" minValue="4649" maxValue="8973"/>
    </cacheField>
    <cacheField name="Net_Salary_Check" numFmtId="3">
      <sharedItems containsSemiMixedTypes="0" containsString="0" containsNumber="1" containsInteger="1" minValue="25531" maxValue="39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E001"/>
    <s v="Aarav Sharma"/>
    <x v="0"/>
    <s v="Software Developer"/>
    <s v="2026-09"/>
    <n v="32000"/>
    <n v="8000"/>
    <n v="2500"/>
    <n v="4"/>
    <n v="1000"/>
    <n v="43500"/>
    <n v="3840"/>
    <n v="3480"/>
    <n v="500"/>
    <n v="7820"/>
    <n v="35680"/>
    <n v="43500"/>
    <n v="7820"/>
    <n v="35680"/>
  </r>
  <r>
    <s v="E002"/>
    <s v="Diya Nair"/>
    <x v="1"/>
    <s v="HR Executive"/>
    <s v="2026-09"/>
    <n v="26000"/>
    <n v="6500"/>
    <n v="1800"/>
    <n v="2"/>
    <n v="360"/>
    <n v="34660"/>
    <n v="3120"/>
    <n v="1733"/>
    <n v="600"/>
    <n v="5453"/>
    <n v="29207"/>
    <n v="34660"/>
    <n v="5453"/>
    <n v="29207"/>
  </r>
  <r>
    <s v="E003"/>
    <s v="Rohan Patel"/>
    <x v="2"/>
    <s v="Accountant"/>
    <s v="2026-09"/>
    <n v="29000"/>
    <n v="7250"/>
    <n v="2200"/>
    <n v="3"/>
    <n v="540"/>
    <n v="38990"/>
    <n v="3480"/>
    <n v="3119"/>
    <n v="700"/>
    <n v="7299"/>
    <n v="31691"/>
    <n v="38990"/>
    <n v="7299"/>
    <n v="31691"/>
  </r>
  <r>
    <s v="E004"/>
    <s v="Ananya Iyer"/>
    <x v="3"/>
    <s v="Sales Executive"/>
    <s v="2026-09"/>
    <n v="24000"/>
    <n v="6000"/>
    <n v="3500"/>
    <n v="8"/>
    <n v="1440"/>
    <n v="34940"/>
    <n v="2880"/>
    <n v="1747"/>
    <n v="800"/>
    <n v="5427"/>
    <n v="29513"/>
    <n v="34940"/>
    <n v="5427"/>
    <n v="29513"/>
  </r>
  <r>
    <s v="E005"/>
    <s v="Vikram Reddy"/>
    <x v="4"/>
    <s v="Operations Analyst"/>
    <s v="2026-09"/>
    <n v="28000"/>
    <n v="7000"/>
    <n v="2000"/>
    <n v="5"/>
    <n v="900"/>
    <n v="37900"/>
    <n v="3360"/>
    <n v="3032"/>
    <n v="500"/>
    <n v="6892"/>
    <n v="31008"/>
    <n v="37900"/>
    <n v="6892"/>
    <n v="31008"/>
  </r>
  <r>
    <s v="E006"/>
    <s v="Meera Menon"/>
    <x v="0"/>
    <s v="Data Analyst"/>
    <s v="2026-09"/>
    <n v="34000"/>
    <n v="8500"/>
    <n v="2600"/>
    <n v="3"/>
    <n v="750"/>
    <n v="45850"/>
    <n v="4080"/>
    <n v="3668"/>
    <n v="600"/>
    <n v="8348"/>
    <n v="37502"/>
    <n v="45850"/>
    <n v="8348"/>
    <n v="37502"/>
  </r>
  <r>
    <s v="E007"/>
    <s v="Arjun Das"/>
    <x v="5"/>
    <s v="Marketing Associate"/>
    <s v="2026-09"/>
    <n v="25000"/>
    <n v="6250"/>
    <n v="2400"/>
    <n v="4"/>
    <n v="720"/>
    <n v="34370"/>
    <n v="3000"/>
    <n v="1718"/>
    <n v="700"/>
    <n v="5418"/>
    <n v="28952"/>
    <n v="34370"/>
    <n v="5418"/>
    <n v="28952"/>
  </r>
  <r>
    <s v="E008"/>
    <s v="Ishita Rao"/>
    <x v="2"/>
    <s v="Financial Analyst"/>
    <s v="2026-09"/>
    <n v="36000"/>
    <n v="9000"/>
    <n v="2800"/>
    <n v="2"/>
    <n v="360"/>
    <n v="48160"/>
    <n v="4320"/>
    <n v="3853"/>
    <n v="800"/>
    <n v="8973"/>
    <n v="39187"/>
    <n v="48160"/>
    <n v="8973"/>
    <n v="39187"/>
  </r>
  <r>
    <s v="E009"/>
    <s v="Kiran Kumar"/>
    <x v="6"/>
    <s v="Support Associate"/>
    <s v="2026-09"/>
    <n v="22000"/>
    <n v="5500"/>
    <n v="1600"/>
    <n v="6"/>
    <n v="1080"/>
    <n v="30180"/>
    <n v="2640"/>
    <n v="1509"/>
    <n v="500"/>
    <n v="4649"/>
    <n v="25531"/>
    <n v="30180"/>
    <n v="4649"/>
    <n v="25531"/>
  </r>
  <r>
    <s v="E010"/>
    <s v="Sana Khan"/>
    <x v="0"/>
    <s v="QA Tester"/>
    <s v="2026-09"/>
    <n v="30000"/>
    <n v="7500"/>
    <n v="2300"/>
    <n v="5"/>
    <n v="1250"/>
    <n v="41050"/>
    <n v="3600"/>
    <n v="3284"/>
    <n v="600"/>
    <n v="7484"/>
    <n v="33566"/>
    <n v="41050"/>
    <n v="7484"/>
    <n v="33566"/>
  </r>
  <r>
    <s v="E011"/>
    <s v="Aditya Joshi"/>
    <x v="1"/>
    <s v="Recruiter"/>
    <s v="2026-09"/>
    <n v="27000"/>
    <n v="6750"/>
    <n v="1900"/>
    <n v="1"/>
    <n v="180"/>
    <n v="35830"/>
    <n v="3240"/>
    <n v="2866"/>
    <n v="700"/>
    <n v="6806"/>
    <n v="29024"/>
    <n v="35830"/>
    <n v="6806"/>
    <n v="29024"/>
  </r>
  <r>
    <s v="E012"/>
    <s v="Nisha Pillai"/>
    <x v="4"/>
    <s v="Process Coordinator"/>
    <s v="2026-09"/>
    <n v="25500"/>
    <n v="6375"/>
    <n v="2100"/>
    <n v="4"/>
    <n v="720"/>
    <n v="34695"/>
    <n v="3060"/>
    <n v="1735"/>
    <n v="800"/>
    <n v="5595"/>
    <n v="29100"/>
    <n v="34695"/>
    <n v="5595"/>
    <n v="29100"/>
  </r>
  <r>
    <s v="E013"/>
    <s v="Rahul Verma"/>
    <x v="3"/>
    <s v="Account Executive"/>
    <s v="2026-09"/>
    <n v="31000"/>
    <n v="7750"/>
    <n v="4000"/>
    <n v="7"/>
    <n v="1260"/>
    <n v="44010"/>
    <n v="3720"/>
    <n v="3521"/>
    <n v="500"/>
    <n v="7741"/>
    <n v="36269"/>
    <n v="44010"/>
    <n v="7741"/>
    <n v="36269"/>
  </r>
  <r>
    <s v="E014"/>
    <s v="Pooja Shetty"/>
    <x v="5"/>
    <s v="Digital Marketing Executive"/>
    <s v="2026-09"/>
    <n v="28500"/>
    <n v="7125"/>
    <n v="2600"/>
    <n v="3"/>
    <n v="540"/>
    <n v="38765"/>
    <n v="3420"/>
    <n v="3101"/>
    <n v="600"/>
    <n v="7121"/>
    <n v="31644"/>
    <n v="38765"/>
    <n v="7121"/>
    <n v="31644"/>
  </r>
  <r>
    <s v="E015"/>
    <s v="Siddharth Rao"/>
    <x v="0"/>
    <s v="Support Engineer"/>
    <s v="2026-09"/>
    <n v="27500"/>
    <n v="6875"/>
    <n v="2200"/>
    <n v="6"/>
    <n v="1500"/>
    <n v="38075"/>
    <n v="3300"/>
    <n v="3046"/>
    <n v="700"/>
    <n v="7046"/>
    <n v="31029"/>
    <n v="38075"/>
    <n v="7046"/>
    <n v="31029"/>
  </r>
  <r>
    <s v="E016"/>
    <s v="Lakshmi Krishnan"/>
    <x v="2"/>
    <s v="Payroll Associate"/>
    <s v="2026-09"/>
    <n v="26500"/>
    <n v="6625"/>
    <n v="1800"/>
    <n v="2"/>
    <n v="360"/>
    <n v="35285"/>
    <n v="3180"/>
    <n v="2823"/>
    <n v="800"/>
    <n v="6803"/>
    <n v="28482"/>
    <n v="35285"/>
    <n v="6803"/>
    <n v="28482"/>
  </r>
  <r>
    <s v="E017"/>
    <s v="Neel Shah"/>
    <x v="4"/>
    <s v="Logistics Coordinator"/>
    <s v="2026-09"/>
    <n v="24500"/>
    <n v="6125"/>
    <n v="1700"/>
    <n v="5"/>
    <n v="900"/>
    <n v="33225"/>
    <n v="2940"/>
    <n v="1661"/>
    <n v="500"/>
    <n v="5101"/>
    <n v="28124"/>
    <n v="33225"/>
    <n v="5101"/>
    <n v="28124"/>
  </r>
  <r>
    <s v="E018"/>
    <s v="Tara Fernandes"/>
    <x v="6"/>
    <s v="Customer Service Executive"/>
    <s v="2026-09"/>
    <n v="23000"/>
    <n v="5750"/>
    <n v="1500"/>
    <n v="3"/>
    <n v="540"/>
    <n v="30790"/>
    <n v="2760"/>
    <n v="1540"/>
    <n v="600"/>
    <n v="4900"/>
    <n v="25890"/>
    <n v="30790"/>
    <n v="4900"/>
    <n v="25890"/>
  </r>
  <r>
    <s v="E019"/>
    <s v="Manav Gupta"/>
    <x v="0"/>
    <s v="Junior Developer"/>
    <s v="2026-09"/>
    <n v="29500"/>
    <n v="7375"/>
    <n v="2400"/>
    <n v="4"/>
    <n v="1000"/>
    <n v="40275"/>
    <n v="3540"/>
    <n v="3222"/>
    <n v="700"/>
    <n v="7462"/>
    <n v="32813"/>
    <n v="40275"/>
    <n v="7462"/>
    <n v="32813"/>
  </r>
  <r>
    <s v="E020"/>
    <s v="Aisha Thomas"/>
    <x v="1"/>
    <s v="HR Analyst"/>
    <s v="2026-09"/>
    <n v="31500"/>
    <n v="7875"/>
    <n v="2000"/>
    <n v="2"/>
    <n v="360"/>
    <n v="41735"/>
    <n v="3780"/>
    <n v="3339"/>
    <n v="800"/>
    <n v="7919"/>
    <n v="33816"/>
    <n v="41735"/>
    <n v="7919"/>
    <n v="33816"/>
  </r>
  <r>
    <s v="E021"/>
    <s v="Dev Malhotra"/>
    <x v="3"/>
    <s v="Sales Analyst"/>
    <s v="2026-09"/>
    <n v="27500"/>
    <n v="6875"/>
    <n v="3200"/>
    <n v="9"/>
    <n v="1620"/>
    <n v="39195"/>
    <n v="3300"/>
    <n v="3136"/>
    <n v="500"/>
    <n v="6936"/>
    <n v="32259"/>
    <n v="39195"/>
    <n v="6936"/>
    <n v="32259"/>
  </r>
  <r>
    <s v="E022"/>
    <s v="Riya Chawla"/>
    <x v="5"/>
    <s v="Content Specialist"/>
    <s v="2026-09"/>
    <n v="26000"/>
    <n v="6500"/>
    <n v="2300"/>
    <n v="1"/>
    <n v="180"/>
    <n v="34980"/>
    <n v="3120"/>
    <n v="1749"/>
    <n v="600"/>
    <n v="5469"/>
    <n v="29511"/>
    <n v="34980"/>
    <n v="5469"/>
    <n v="29511"/>
  </r>
  <r>
    <s v="E023"/>
    <s v="Kabir Singh"/>
    <x v="2"/>
    <s v="Accounts Executive"/>
    <s v="2026-09"/>
    <n v="25000"/>
    <n v="6250"/>
    <n v="1900"/>
    <n v="3"/>
    <n v="540"/>
    <n v="33690"/>
    <n v="3000"/>
    <n v="1684"/>
    <n v="700"/>
    <n v="5384"/>
    <n v="28306"/>
    <n v="33690"/>
    <n v="5384"/>
    <n v="28306"/>
  </r>
  <r>
    <s v="E024"/>
    <s v="Sneha Bhat"/>
    <x v="4"/>
    <s v="Operations Associate"/>
    <s v="2026-09"/>
    <n v="23500"/>
    <n v="5875"/>
    <n v="1600"/>
    <n v="2"/>
    <n v="360"/>
    <n v="31335"/>
    <n v="2820"/>
    <n v="1567"/>
    <n v="800"/>
    <n v="5187"/>
    <n v="26148"/>
    <n v="31335"/>
    <n v="5187"/>
    <n v="26148"/>
  </r>
  <r>
    <s v="E025"/>
    <s v="Yash Mehta"/>
    <x v="0"/>
    <s v="System Administrator"/>
    <s v="2026-09"/>
    <n v="33000"/>
    <n v="8250"/>
    <n v="2500"/>
    <n v="5"/>
    <n v="1250"/>
    <n v="45000"/>
    <n v="3960"/>
    <n v="3600"/>
    <n v="500"/>
    <n v="8060"/>
    <n v="36940"/>
    <n v="45000"/>
    <n v="8060"/>
    <n v="36940"/>
  </r>
  <r>
    <s v="E026"/>
    <s v="Maya George"/>
    <x v="6"/>
    <s v="Support Analyst"/>
    <s v="2026-09"/>
    <n v="24500"/>
    <n v="6125"/>
    <n v="1700"/>
    <n v="4"/>
    <n v="720"/>
    <n v="33045"/>
    <n v="2940"/>
    <n v="1652"/>
    <n v="600"/>
    <n v="5192"/>
    <n v="27853"/>
    <n v="33045"/>
    <n v="5192"/>
    <n v="27853"/>
  </r>
  <r>
    <s v="E027"/>
    <s v="Ibrahim Ali"/>
    <x v="3"/>
    <s v="Business Development Executive"/>
    <s v="2026-09"/>
    <n v="30000"/>
    <n v="7500"/>
    <n v="3800"/>
    <n v="6"/>
    <n v="1080"/>
    <n v="42380"/>
    <n v="3600"/>
    <n v="3390"/>
    <n v="700"/>
    <n v="7690"/>
    <n v="34690"/>
    <n v="42380"/>
    <n v="7690"/>
    <n v="34690"/>
  </r>
  <r>
    <s v="E028"/>
    <s v="Kavya Suresh"/>
    <x v="5"/>
    <s v="Marketing Analyst"/>
    <s v="2026-09"/>
    <n v="30500"/>
    <n v="7625"/>
    <n v="2700"/>
    <n v="2"/>
    <n v="360"/>
    <n v="41185"/>
    <n v="3660"/>
    <n v="3295"/>
    <n v="800"/>
    <n v="7755"/>
    <n v="33430"/>
    <n v="41185"/>
    <n v="7755"/>
    <n v="33430"/>
  </r>
  <r>
    <s v="E029"/>
    <s v="Pranav Kulkarni"/>
    <x v="2"/>
    <s v="Junior Auditor"/>
    <s v="2026-09"/>
    <n v="28000"/>
    <n v="7000"/>
    <n v="2100"/>
    <n v="4"/>
    <n v="720"/>
    <n v="37820"/>
    <n v="3360"/>
    <n v="3026"/>
    <n v="500"/>
    <n v="6886"/>
    <n v="30934"/>
    <n v="37820"/>
    <n v="6886"/>
    <n v="30934"/>
  </r>
  <r>
    <s v="E030"/>
    <s v="Eva Mathew"/>
    <x v="4"/>
    <s v="Workforce Coordinator"/>
    <s v="2026-09"/>
    <n v="27000"/>
    <n v="6750"/>
    <n v="1900"/>
    <n v="3"/>
    <n v="540"/>
    <n v="36190"/>
    <n v="3240"/>
    <n v="2895"/>
    <n v="600"/>
    <n v="6735"/>
    <n v="29455"/>
    <n v="36190"/>
    <n v="6735"/>
    <n v="29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1" firstHeaderRow="1" firstDataRow="1" firstDataCol="1"/>
  <pivotFields count="19">
    <pivotField showAll="0"/>
    <pivotField showAll="0"/>
    <pivotField axis="axisRow" showAll="0" sortType="descending">
      <items count="8">
        <item x="6"/>
        <item x="2"/>
        <item x="1"/>
        <item x="0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2"/>
  </rowFields>
  <rowItems count="8">
    <i>
      <x v="3"/>
    </i>
    <i>
      <x v="6"/>
    </i>
    <i>
      <x v="5"/>
    </i>
    <i>
      <x v="1"/>
    </i>
    <i>
      <x/>
    </i>
    <i>
      <x v="4"/>
    </i>
    <i>
      <x v="2"/>
    </i>
    <i t="grand">
      <x/>
    </i>
  </rowItems>
  <colItems count="1">
    <i/>
  </colItems>
  <dataFields count="1">
    <dataField name="Sum of Overtime_Pa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1" firstHeaderRow="1" firstDataRow="1" firstDataCol="1"/>
  <pivotFields count="19">
    <pivotField showAll="0"/>
    <pivotField showAll="0"/>
    <pivotField axis="axisRow" showAll="0" sortType="descending">
      <items count="8">
        <item x="6"/>
        <item x="2"/>
        <item x="1"/>
        <item x="0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</pivotFields>
  <rowFields count="1">
    <field x="2"/>
  </rowFields>
  <rowItems count="8">
    <i>
      <x v="3"/>
    </i>
    <i>
      <x v="1"/>
    </i>
    <i>
      <x v="5"/>
    </i>
    <i>
      <x v="6"/>
    </i>
    <i>
      <x v="4"/>
    </i>
    <i>
      <x v="2"/>
    </i>
    <i>
      <x/>
    </i>
    <i t="grand">
      <x/>
    </i>
  </rowItems>
  <colItems count="1">
    <i/>
  </colItems>
  <dataFields count="1">
    <dataField name="Sum of Net_Salar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11" firstHeaderRow="1" firstDataRow="1" firstDataCol="1"/>
  <pivotFields count="19">
    <pivotField showAll="0"/>
    <pivotField showAll="0"/>
    <pivotField axis="axisRow" showAll="0" sortType="descending">
      <items count="8">
        <item x="6"/>
        <item x="2"/>
        <item x="1"/>
        <item x="0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2"/>
  </rowFields>
  <rowItems count="8">
    <i>
      <x v="3"/>
    </i>
    <i>
      <x v="1"/>
    </i>
    <i>
      <x v="5"/>
    </i>
    <i>
      <x v="6"/>
    </i>
    <i>
      <x v="4"/>
    </i>
    <i>
      <x v="2"/>
    </i>
    <i>
      <x/>
    </i>
    <i t="grand">
      <x/>
    </i>
  </rowItems>
  <colItems count="1">
    <i/>
  </colItems>
  <dataFields count="1">
    <dataField name="Sum of Gross_Salary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9">
    <pivotField showAll="0"/>
    <pivotField showAll="0"/>
    <pivotField axis="axisRow" showAll="0" sortType="descending">
      <items count="8">
        <item x="6"/>
        <item x="2"/>
        <item x="1"/>
        <item x="0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2"/>
  </rowFields>
  <rowItems count="8">
    <i>
      <x v="3"/>
    </i>
    <i>
      <x v="6"/>
    </i>
    <i>
      <x v="1"/>
    </i>
    <i>
      <x v="2"/>
    </i>
    <i>
      <x v="4"/>
    </i>
    <i>
      <x v="5"/>
    </i>
    <i>
      <x/>
    </i>
    <i t="grand">
      <x/>
    </i>
  </rowItems>
  <colItems count="1">
    <i/>
  </colItems>
  <dataFields count="1">
    <dataField name="Average of Gross_Salary" fld="10" subtotal="average" baseField="2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abSelected="1" workbookViewId="0">
      <selection activeCell="B16" sqref="B16"/>
    </sheetView>
  </sheetViews>
  <sheetFormatPr defaultRowHeight="15" x14ac:dyDescent="0.25"/>
  <cols>
    <col min="1" max="1" width="17.28515625" bestFit="1" customWidth="1"/>
    <col min="2" max="2" width="20.42578125" bestFit="1" customWidth="1"/>
  </cols>
  <sheetData>
    <row r="3" spans="1:2" x14ac:dyDescent="0.25">
      <c r="A3" s="4" t="s">
        <v>117</v>
      </c>
      <c r="B3" t="s">
        <v>121</v>
      </c>
    </row>
    <row r="4" spans="1:2" x14ac:dyDescent="0.25">
      <c r="A4" s="5" t="s">
        <v>18</v>
      </c>
      <c r="B4" s="6">
        <v>6750</v>
      </c>
    </row>
    <row r="5" spans="1:2" x14ac:dyDescent="0.25">
      <c r="A5" s="5" t="s">
        <v>31</v>
      </c>
      <c r="B5" s="6">
        <v>5400</v>
      </c>
    </row>
    <row r="6" spans="1:2" x14ac:dyDescent="0.25">
      <c r="A6" s="5" t="s">
        <v>35</v>
      </c>
      <c r="B6" s="6">
        <v>3420</v>
      </c>
    </row>
    <row r="7" spans="1:2" x14ac:dyDescent="0.25">
      <c r="A7" s="5" t="s">
        <v>27</v>
      </c>
      <c r="B7" s="6">
        <v>2520</v>
      </c>
    </row>
    <row r="8" spans="1:2" x14ac:dyDescent="0.25">
      <c r="A8" s="5" t="s">
        <v>49</v>
      </c>
      <c r="B8" s="6">
        <v>2340</v>
      </c>
    </row>
    <row r="9" spans="1:2" x14ac:dyDescent="0.25">
      <c r="A9" s="5" t="s">
        <v>42</v>
      </c>
      <c r="B9" s="6">
        <v>1800</v>
      </c>
    </row>
    <row r="10" spans="1:2" x14ac:dyDescent="0.25">
      <c r="A10" s="5" t="s">
        <v>23</v>
      </c>
      <c r="B10" s="6">
        <v>900</v>
      </c>
    </row>
    <row r="11" spans="1:2" x14ac:dyDescent="0.25">
      <c r="A11" s="5" t="s">
        <v>118</v>
      </c>
      <c r="B11" s="6">
        <v>23130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G10" sqref="G10"/>
    </sheetView>
  </sheetViews>
  <sheetFormatPr defaultRowHeight="15" x14ac:dyDescent="0.25"/>
  <cols>
    <col min="1" max="1" width="17.28515625" bestFit="1" customWidth="1"/>
    <col min="2" max="2" width="17.42578125" bestFit="1" customWidth="1"/>
  </cols>
  <sheetData>
    <row r="3" spans="1:2" x14ac:dyDescent="0.25">
      <c r="A3" s="4" t="s">
        <v>117</v>
      </c>
      <c r="B3" t="s">
        <v>122</v>
      </c>
    </row>
    <row r="4" spans="1:2" x14ac:dyDescent="0.25">
      <c r="A4" s="5" t="s">
        <v>18</v>
      </c>
      <c r="B4" s="6">
        <v>207530</v>
      </c>
    </row>
    <row r="5" spans="1:2" x14ac:dyDescent="0.25">
      <c r="A5" s="5" t="s">
        <v>27</v>
      </c>
      <c r="B5" s="6">
        <v>158600</v>
      </c>
    </row>
    <row r="6" spans="1:2" x14ac:dyDescent="0.25">
      <c r="A6" s="5" t="s">
        <v>35</v>
      </c>
      <c r="B6" s="6">
        <v>143835</v>
      </c>
    </row>
    <row r="7" spans="1:2" x14ac:dyDescent="0.25">
      <c r="A7" s="5" t="s">
        <v>31</v>
      </c>
      <c r="B7" s="6">
        <v>132731</v>
      </c>
    </row>
    <row r="8" spans="1:2" x14ac:dyDescent="0.25">
      <c r="A8" s="5" t="s">
        <v>42</v>
      </c>
      <c r="B8" s="6">
        <v>123537</v>
      </c>
    </row>
    <row r="9" spans="1:2" x14ac:dyDescent="0.25">
      <c r="A9" s="5" t="s">
        <v>23</v>
      </c>
      <c r="B9" s="6">
        <v>92047</v>
      </c>
    </row>
    <row r="10" spans="1:2" x14ac:dyDescent="0.25">
      <c r="A10" s="5" t="s">
        <v>49</v>
      </c>
      <c r="B10" s="6">
        <v>79274</v>
      </c>
    </row>
    <row r="11" spans="1:2" x14ac:dyDescent="0.25">
      <c r="A11" s="5" t="s">
        <v>118</v>
      </c>
      <c r="B11" s="6">
        <v>937554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4" sqref="B4"/>
    </sheetView>
  </sheetViews>
  <sheetFormatPr defaultRowHeight="15" x14ac:dyDescent="0.25"/>
  <cols>
    <col min="1" max="1" width="17.28515625" bestFit="1" customWidth="1"/>
    <col min="2" max="2" width="19.140625" bestFit="1" customWidth="1"/>
  </cols>
  <sheetData>
    <row r="3" spans="1:2" x14ac:dyDescent="0.25">
      <c r="A3" s="4" t="s">
        <v>117</v>
      </c>
      <c r="B3" t="s">
        <v>119</v>
      </c>
    </row>
    <row r="4" spans="1:2" x14ac:dyDescent="0.25">
      <c r="A4" s="5" t="s">
        <v>18</v>
      </c>
      <c r="B4" s="6">
        <v>253750</v>
      </c>
    </row>
    <row r="5" spans="1:2" x14ac:dyDescent="0.25">
      <c r="A5" s="5" t="s">
        <v>27</v>
      </c>
      <c r="B5" s="6">
        <v>193945</v>
      </c>
    </row>
    <row r="6" spans="1:2" x14ac:dyDescent="0.25">
      <c r="A6" s="5" t="s">
        <v>35</v>
      </c>
      <c r="B6" s="6">
        <v>173345</v>
      </c>
    </row>
    <row r="7" spans="1:2" x14ac:dyDescent="0.25">
      <c r="A7" s="5" t="s">
        <v>31</v>
      </c>
      <c r="B7" s="6">
        <v>160525</v>
      </c>
    </row>
    <row r="8" spans="1:2" x14ac:dyDescent="0.25">
      <c r="A8" s="5" t="s">
        <v>42</v>
      </c>
      <c r="B8" s="6">
        <v>149300</v>
      </c>
    </row>
    <row r="9" spans="1:2" x14ac:dyDescent="0.25">
      <c r="A9" s="5" t="s">
        <v>23</v>
      </c>
      <c r="B9" s="6">
        <v>112225</v>
      </c>
    </row>
    <row r="10" spans="1:2" x14ac:dyDescent="0.25">
      <c r="A10" s="5" t="s">
        <v>49</v>
      </c>
      <c r="B10" s="6">
        <v>94015</v>
      </c>
    </row>
    <row r="11" spans="1:2" x14ac:dyDescent="0.25">
      <c r="A11" s="5" t="s">
        <v>118</v>
      </c>
      <c r="B11" s="6">
        <v>1137105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4" sqref="B4"/>
    </sheetView>
  </sheetViews>
  <sheetFormatPr defaultRowHeight="15" x14ac:dyDescent="0.25"/>
  <cols>
    <col min="1" max="1" width="17.28515625" bestFit="1" customWidth="1"/>
    <col min="2" max="2" width="22.7109375" bestFit="1" customWidth="1"/>
  </cols>
  <sheetData>
    <row r="3" spans="1:2" x14ac:dyDescent="0.25">
      <c r="A3" s="4" t="s">
        <v>117</v>
      </c>
      <c r="B3" t="s">
        <v>120</v>
      </c>
    </row>
    <row r="4" spans="1:2" x14ac:dyDescent="0.25">
      <c r="A4" s="5" t="s">
        <v>18</v>
      </c>
      <c r="B4" s="7">
        <v>42291.666666666664</v>
      </c>
    </row>
    <row r="5" spans="1:2" x14ac:dyDescent="0.25">
      <c r="A5" s="5" t="s">
        <v>31</v>
      </c>
      <c r="B5" s="7">
        <v>40131.25</v>
      </c>
    </row>
    <row r="6" spans="1:2" x14ac:dyDescent="0.25">
      <c r="A6" s="5" t="s">
        <v>27</v>
      </c>
      <c r="B6" s="7">
        <v>38789</v>
      </c>
    </row>
    <row r="7" spans="1:2" x14ac:dyDescent="0.25">
      <c r="A7" s="5" t="s">
        <v>23</v>
      </c>
      <c r="B7" s="7">
        <v>37408.333333333336</v>
      </c>
    </row>
    <row r="8" spans="1:2" x14ac:dyDescent="0.25">
      <c r="A8" s="5" t="s">
        <v>42</v>
      </c>
      <c r="B8" s="7">
        <v>37325</v>
      </c>
    </row>
    <row r="9" spans="1:2" x14ac:dyDescent="0.25">
      <c r="A9" s="5" t="s">
        <v>35</v>
      </c>
      <c r="B9" s="7">
        <v>34669</v>
      </c>
    </row>
    <row r="10" spans="1:2" x14ac:dyDescent="0.25">
      <c r="A10" s="5" t="s">
        <v>49</v>
      </c>
      <c r="B10" s="7">
        <v>31338.333333333332</v>
      </c>
    </row>
    <row r="11" spans="1:2" x14ac:dyDescent="0.25">
      <c r="A11" s="5" t="s">
        <v>118</v>
      </c>
      <c r="B11" s="7">
        <v>37903.5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showGridLines="0" topLeftCell="D1" zoomScale="70" zoomScaleNormal="70" workbookViewId="0">
      <pane ySplit="1" topLeftCell="A2" activePane="bottomLeft" state="frozen"/>
      <selection pane="bottomLeft" activeCell="N33" sqref="N33"/>
    </sheetView>
  </sheetViews>
  <sheetFormatPr defaultRowHeight="15" x14ac:dyDescent="0.25"/>
  <cols>
    <col min="1" max="1" width="13" customWidth="1"/>
    <col min="2" max="3" width="18" customWidth="1"/>
    <col min="4" max="4" width="28" customWidth="1"/>
    <col min="5" max="5" width="12" customWidth="1"/>
    <col min="6" max="6" width="14" customWidth="1"/>
    <col min="7" max="7" width="12" customWidth="1"/>
    <col min="8" max="8" width="18" customWidth="1"/>
    <col min="9" max="9" width="16" customWidth="1"/>
    <col min="10" max="12" width="14" customWidth="1"/>
    <col min="13" max="13" width="15" customWidth="1"/>
    <col min="14" max="15" width="18" customWidth="1"/>
    <col min="16" max="16" width="12" customWidth="1"/>
    <col min="17" max="17" width="19" customWidth="1"/>
    <col min="18" max="19" width="16.7109375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114</v>
      </c>
      <c r="R1" s="3" t="s">
        <v>115</v>
      </c>
      <c r="S1" s="3" t="s">
        <v>116</v>
      </c>
    </row>
    <row r="2" spans="1:1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>
        <v>32000</v>
      </c>
      <c r="G2" s="2">
        <v>8000</v>
      </c>
      <c r="H2" s="2">
        <v>2500</v>
      </c>
      <c r="I2" s="2">
        <v>4</v>
      </c>
      <c r="J2" s="2">
        <v>1000</v>
      </c>
      <c r="K2" s="2">
        <v>43500</v>
      </c>
      <c r="L2" s="2">
        <v>3840</v>
      </c>
      <c r="M2" s="2">
        <v>3480</v>
      </c>
      <c r="N2" s="2">
        <v>500</v>
      </c>
      <c r="O2" s="2">
        <v>7820</v>
      </c>
      <c r="P2" s="2">
        <v>35680</v>
      </c>
      <c r="Q2" s="2">
        <f>F2+G2+H2+J2</f>
        <v>43500</v>
      </c>
      <c r="R2" s="2">
        <f>L2+M2+N2</f>
        <v>7820</v>
      </c>
      <c r="S2" s="2">
        <f>K2-O2</f>
        <v>35680</v>
      </c>
    </row>
    <row r="3" spans="1:19" x14ac:dyDescent="0.25">
      <c r="A3" t="s">
        <v>21</v>
      </c>
      <c r="B3" t="s">
        <v>22</v>
      </c>
      <c r="C3" t="s">
        <v>23</v>
      </c>
      <c r="D3" t="s">
        <v>24</v>
      </c>
      <c r="E3" t="s">
        <v>20</v>
      </c>
      <c r="F3" s="2">
        <v>26000</v>
      </c>
      <c r="G3" s="2">
        <v>6500</v>
      </c>
      <c r="H3" s="2">
        <v>1800</v>
      </c>
      <c r="I3" s="2">
        <v>2</v>
      </c>
      <c r="J3" s="2">
        <v>360</v>
      </c>
      <c r="K3" s="2">
        <v>34660</v>
      </c>
      <c r="L3" s="2">
        <v>3120</v>
      </c>
      <c r="M3" s="2">
        <v>1733</v>
      </c>
      <c r="N3" s="2">
        <v>600</v>
      </c>
      <c r="O3" s="2">
        <v>5453</v>
      </c>
      <c r="P3" s="2">
        <v>29207</v>
      </c>
      <c r="Q3" s="2">
        <f t="shared" ref="Q3:Q31" si="0">F3+G3+H3+J3</f>
        <v>34660</v>
      </c>
      <c r="R3" s="2">
        <f t="shared" ref="R3:R31" si="1">L3+M3+N3</f>
        <v>5453</v>
      </c>
      <c r="S3" s="2">
        <f t="shared" ref="S3:S31" si="2">K3-O3</f>
        <v>29207</v>
      </c>
    </row>
    <row r="4" spans="1:19" x14ac:dyDescent="0.25">
      <c r="A4" t="s">
        <v>25</v>
      </c>
      <c r="B4" t="s">
        <v>26</v>
      </c>
      <c r="C4" t="s">
        <v>27</v>
      </c>
      <c r="D4" t="s">
        <v>28</v>
      </c>
      <c r="E4" t="s">
        <v>20</v>
      </c>
      <c r="F4" s="2">
        <v>29000</v>
      </c>
      <c r="G4" s="2">
        <v>7250</v>
      </c>
      <c r="H4" s="2">
        <v>2200</v>
      </c>
      <c r="I4" s="2">
        <v>3</v>
      </c>
      <c r="J4" s="2">
        <v>540</v>
      </c>
      <c r="K4" s="2">
        <v>38990</v>
      </c>
      <c r="L4" s="2">
        <v>3480</v>
      </c>
      <c r="M4" s="2">
        <v>3119</v>
      </c>
      <c r="N4" s="2">
        <v>700</v>
      </c>
      <c r="O4" s="2">
        <v>7299</v>
      </c>
      <c r="P4" s="2">
        <v>31691</v>
      </c>
      <c r="Q4" s="2">
        <f t="shared" si="0"/>
        <v>38990</v>
      </c>
      <c r="R4" s="2">
        <f t="shared" si="1"/>
        <v>7299</v>
      </c>
      <c r="S4" s="2">
        <f t="shared" si="2"/>
        <v>31691</v>
      </c>
    </row>
    <row r="5" spans="1:19" x14ac:dyDescent="0.25">
      <c r="A5" t="s">
        <v>29</v>
      </c>
      <c r="B5" t="s">
        <v>30</v>
      </c>
      <c r="C5" t="s">
        <v>31</v>
      </c>
      <c r="D5" t="s">
        <v>32</v>
      </c>
      <c r="E5" t="s">
        <v>20</v>
      </c>
      <c r="F5" s="2">
        <v>24000</v>
      </c>
      <c r="G5" s="2">
        <v>6000</v>
      </c>
      <c r="H5" s="2">
        <v>3500</v>
      </c>
      <c r="I5" s="2">
        <v>8</v>
      </c>
      <c r="J5" s="2">
        <v>1440</v>
      </c>
      <c r="K5" s="2">
        <v>34940</v>
      </c>
      <c r="L5" s="2">
        <v>2880</v>
      </c>
      <c r="M5" s="2">
        <v>1747</v>
      </c>
      <c r="N5" s="2">
        <v>800</v>
      </c>
      <c r="O5" s="2">
        <v>5427</v>
      </c>
      <c r="P5" s="2">
        <v>29513</v>
      </c>
      <c r="Q5" s="2">
        <f t="shared" si="0"/>
        <v>34940</v>
      </c>
      <c r="R5" s="2">
        <f t="shared" si="1"/>
        <v>5427</v>
      </c>
      <c r="S5" s="2">
        <f t="shared" si="2"/>
        <v>29513</v>
      </c>
    </row>
    <row r="6" spans="1:19" x14ac:dyDescent="0.25">
      <c r="A6" t="s">
        <v>33</v>
      </c>
      <c r="B6" t="s">
        <v>34</v>
      </c>
      <c r="C6" t="s">
        <v>35</v>
      </c>
      <c r="D6" t="s">
        <v>36</v>
      </c>
      <c r="E6" t="s">
        <v>20</v>
      </c>
      <c r="F6" s="2">
        <v>28000</v>
      </c>
      <c r="G6" s="2">
        <v>7000</v>
      </c>
      <c r="H6" s="2">
        <v>2000</v>
      </c>
      <c r="I6" s="2">
        <v>5</v>
      </c>
      <c r="J6" s="2">
        <v>900</v>
      </c>
      <c r="K6" s="2">
        <v>37900</v>
      </c>
      <c r="L6" s="2">
        <v>3360</v>
      </c>
      <c r="M6" s="2">
        <v>3032</v>
      </c>
      <c r="N6" s="2">
        <v>500</v>
      </c>
      <c r="O6" s="2">
        <v>6892</v>
      </c>
      <c r="P6" s="2">
        <v>31008</v>
      </c>
      <c r="Q6" s="2">
        <f t="shared" si="0"/>
        <v>37900</v>
      </c>
      <c r="R6" s="2">
        <f t="shared" si="1"/>
        <v>6892</v>
      </c>
      <c r="S6" s="2">
        <f t="shared" si="2"/>
        <v>31008</v>
      </c>
    </row>
    <row r="7" spans="1:19" x14ac:dyDescent="0.25">
      <c r="A7" t="s">
        <v>37</v>
      </c>
      <c r="B7" t="s">
        <v>38</v>
      </c>
      <c r="C7" t="s">
        <v>18</v>
      </c>
      <c r="D7" t="s">
        <v>39</v>
      </c>
      <c r="E7" t="s">
        <v>20</v>
      </c>
      <c r="F7" s="2">
        <v>34000</v>
      </c>
      <c r="G7" s="2">
        <v>8500</v>
      </c>
      <c r="H7" s="2">
        <v>2600</v>
      </c>
      <c r="I7" s="2">
        <v>3</v>
      </c>
      <c r="J7" s="2">
        <v>750</v>
      </c>
      <c r="K7" s="2">
        <v>45850</v>
      </c>
      <c r="L7" s="2">
        <v>4080</v>
      </c>
      <c r="M7" s="2">
        <v>3668</v>
      </c>
      <c r="N7" s="2">
        <v>600</v>
      </c>
      <c r="O7" s="2">
        <v>8348</v>
      </c>
      <c r="P7" s="2">
        <v>37502</v>
      </c>
      <c r="Q7" s="2">
        <f t="shared" si="0"/>
        <v>45850</v>
      </c>
      <c r="R7" s="2">
        <f t="shared" si="1"/>
        <v>8348</v>
      </c>
      <c r="S7" s="2">
        <f t="shared" si="2"/>
        <v>37502</v>
      </c>
    </row>
    <row r="8" spans="1:19" x14ac:dyDescent="0.25">
      <c r="A8" t="s">
        <v>40</v>
      </c>
      <c r="B8" t="s">
        <v>41</v>
      </c>
      <c r="C8" t="s">
        <v>42</v>
      </c>
      <c r="D8" t="s">
        <v>43</v>
      </c>
      <c r="E8" t="s">
        <v>20</v>
      </c>
      <c r="F8" s="2">
        <v>25000</v>
      </c>
      <c r="G8" s="2">
        <v>6250</v>
      </c>
      <c r="H8" s="2">
        <v>2400</v>
      </c>
      <c r="I8" s="2">
        <v>4</v>
      </c>
      <c r="J8" s="2">
        <v>720</v>
      </c>
      <c r="K8" s="2">
        <v>34370</v>
      </c>
      <c r="L8" s="2">
        <v>3000</v>
      </c>
      <c r="M8" s="2">
        <v>1718</v>
      </c>
      <c r="N8" s="2">
        <v>700</v>
      </c>
      <c r="O8" s="2">
        <v>5418</v>
      </c>
      <c r="P8" s="2">
        <v>28952</v>
      </c>
      <c r="Q8" s="2">
        <f t="shared" si="0"/>
        <v>34370</v>
      </c>
      <c r="R8" s="2">
        <f t="shared" si="1"/>
        <v>5418</v>
      </c>
      <c r="S8" s="2">
        <f t="shared" si="2"/>
        <v>28952</v>
      </c>
    </row>
    <row r="9" spans="1:19" x14ac:dyDescent="0.25">
      <c r="A9" t="s">
        <v>44</v>
      </c>
      <c r="B9" t="s">
        <v>45</v>
      </c>
      <c r="C9" t="s">
        <v>27</v>
      </c>
      <c r="D9" t="s">
        <v>46</v>
      </c>
      <c r="E9" t="s">
        <v>20</v>
      </c>
      <c r="F9" s="2">
        <v>36000</v>
      </c>
      <c r="G9" s="2">
        <v>9000</v>
      </c>
      <c r="H9" s="2">
        <v>2800</v>
      </c>
      <c r="I9" s="2">
        <v>2</v>
      </c>
      <c r="J9" s="2">
        <v>360</v>
      </c>
      <c r="K9" s="2">
        <v>48160</v>
      </c>
      <c r="L9" s="2">
        <v>4320</v>
      </c>
      <c r="M9" s="2">
        <v>3853</v>
      </c>
      <c r="N9" s="2">
        <v>800</v>
      </c>
      <c r="O9" s="2">
        <v>8973</v>
      </c>
      <c r="P9" s="2">
        <v>39187</v>
      </c>
      <c r="Q9" s="2">
        <f t="shared" si="0"/>
        <v>48160</v>
      </c>
      <c r="R9" s="2">
        <f t="shared" si="1"/>
        <v>8973</v>
      </c>
      <c r="S9" s="2">
        <f t="shared" si="2"/>
        <v>39187</v>
      </c>
    </row>
    <row r="10" spans="1:19" x14ac:dyDescent="0.25">
      <c r="A10" t="s">
        <v>47</v>
      </c>
      <c r="B10" t="s">
        <v>48</v>
      </c>
      <c r="C10" t="s">
        <v>49</v>
      </c>
      <c r="D10" t="s">
        <v>50</v>
      </c>
      <c r="E10" t="s">
        <v>20</v>
      </c>
      <c r="F10" s="2">
        <v>22000</v>
      </c>
      <c r="G10" s="2">
        <v>5500</v>
      </c>
      <c r="H10" s="2">
        <v>1600</v>
      </c>
      <c r="I10" s="2">
        <v>6</v>
      </c>
      <c r="J10" s="2">
        <v>1080</v>
      </c>
      <c r="K10" s="2">
        <v>30180</v>
      </c>
      <c r="L10" s="2">
        <v>2640</v>
      </c>
      <c r="M10" s="2">
        <v>1509</v>
      </c>
      <c r="N10" s="2">
        <v>500</v>
      </c>
      <c r="O10" s="2">
        <v>4649</v>
      </c>
      <c r="P10" s="2">
        <v>25531</v>
      </c>
      <c r="Q10" s="2">
        <f t="shared" si="0"/>
        <v>30180</v>
      </c>
      <c r="R10" s="2">
        <f t="shared" si="1"/>
        <v>4649</v>
      </c>
      <c r="S10" s="2">
        <f t="shared" si="2"/>
        <v>25531</v>
      </c>
    </row>
    <row r="11" spans="1:19" x14ac:dyDescent="0.25">
      <c r="A11" t="s">
        <v>51</v>
      </c>
      <c r="B11" t="s">
        <v>52</v>
      </c>
      <c r="C11" t="s">
        <v>18</v>
      </c>
      <c r="D11" t="s">
        <v>53</v>
      </c>
      <c r="E11" t="s">
        <v>20</v>
      </c>
      <c r="F11" s="2">
        <v>30000</v>
      </c>
      <c r="G11" s="2">
        <v>7500</v>
      </c>
      <c r="H11" s="2">
        <v>2300</v>
      </c>
      <c r="I11" s="2">
        <v>5</v>
      </c>
      <c r="J11" s="2">
        <v>1250</v>
      </c>
      <c r="K11" s="2">
        <v>41050</v>
      </c>
      <c r="L11" s="2">
        <v>3600</v>
      </c>
      <c r="M11" s="2">
        <v>3284</v>
      </c>
      <c r="N11" s="2">
        <v>600</v>
      </c>
      <c r="O11" s="2">
        <v>7484</v>
      </c>
      <c r="P11" s="2">
        <v>33566</v>
      </c>
      <c r="Q11" s="2">
        <f t="shared" si="0"/>
        <v>41050</v>
      </c>
      <c r="R11" s="2">
        <f t="shared" si="1"/>
        <v>7484</v>
      </c>
      <c r="S11" s="2">
        <f t="shared" si="2"/>
        <v>33566</v>
      </c>
    </row>
    <row r="12" spans="1:19" x14ac:dyDescent="0.25">
      <c r="A12" t="s">
        <v>54</v>
      </c>
      <c r="B12" t="s">
        <v>55</v>
      </c>
      <c r="C12" t="s">
        <v>23</v>
      </c>
      <c r="D12" t="s">
        <v>56</v>
      </c>
      <c r="E12" t="s">
        <v>20</v>
      </c>
      <c r="F12" s="2">
        <v>27000</v>
      </c>
      <c r="G12" s="2">
        <v>6750</v>
      </c>
      <c r="H12" s="2">
        <v>1900</v>
      </c>
      <c r="I12" s="2">
        <v>1</v>
      </c>
      <c r="J12" s="2">
        <v>180</v>
      </c>
      <c r="K12" s="2">
        <v>35830</v>
      </c>
      <c r="L12" s="2">
        <v>3240</v>
      </c>
      <c r="M12" s="2">
        <v>2866</v>
      </c>
      <c r="N12" s="2">
        <v>700</v>
      </c>
      <c r="O12" s="2">
        <v>6806</v>
      </c>
      <c r="P12" s="2">
        <v>29024</v>
      </c>
      <c r="Q12" s="2">
        <f t="shared" si="0"/>
        <v>35830</v>
      </c>
      <c r="R12" s="2">
        <f t="shared" si="1"/>
        <v>6806</v>
      </c>
      <c r="S12" s="2">
        <f t="shared" si="2"/>
        <v>29024</v>
      </c>
    </row>
    <row r="13" spans="1:19" x14ac:dyDescent="0.25">
      <c r="A13" t="s">
        <v>57</v>
      </c>
      <c r="B13" t="s">
        <v>58</v>
      </c>
      <c r="C13" t="s">
        <v>35</v>
      </c>
      <c r="D13" t="s">
        <v>59</v>
      </c>
      <c r="E13" t="s">
        <v>20</v>
      </c>
      <c r="F13" s="2">
        <v>25500</v>
      </c>
      <c r="G13" s="2">
        <v>6375</v>
      </c>
      <c r="H13" s="2">
        <v>2100</v>
      </c>
      <c r="I13" s="2">
        <v>4</v>
      </c>
      <c r="J13" s="2">
        <v>720</v>
      </c>
      <c r="K13" s="2">
        <v>34695</v>
      </c>
      <c r="L13" s="2">
        <v>3060</v>
      </c>
      <c r="M13" s="2">
        <v>1735</v>
      </c>
      <c r="N13" s="2">
        <v>800</v>
      </c>
      <c r="O13" s="2">
        <v>5595</v>
      </c>
      <c r="P13" s="2">
        <v>29100</v>
      </c>
      <c r="Q13" s="2">
        <f t="shared" si="0"/>
        <v>34695</v>
      </c>
      <c r="R13" s="2">
        <f t="shared" si="1"/>
        <v>5595</v>
      </c>
      <c r="S13" s="2">
        <f t="shared" si="2"/>
        <v>29100</v>
      </c>
    </row>
    <row r="14" spans="1:19" x14ac:dyDescent="0.25">
      <c r="A14" t="s">
        <v>60</v>
      </c>
      <c r="B14" t="s">
        <v>61</v>
      </c>
      <c r="C14" t="s">
        <v>31</v>
      </c>
      <c r="D14" t="s">
        <v>62</v>
      </c>
      <c r="E14" t="s">
        <v>20</v>
      </c>
      <c r="F14" s="2">
        <v>31000</v>
      </c>
      <c r="G14" s="2">
        <v>7750</v>
      </c>
      <c r="H14" s="2">
        <v>4000</v>
      </c>
      <c r="I14" s="2">
        <v>7</v>
      </c>
      <c r="J14" s="2">
        <v>1260</v>
      </c>
      <c r="K14" s="2">
        <v>44010</v>
      </c>
      <c r="L14" s="2">
        <v>3720</v>
      </c>
      <c r="M14" s="2">
        <v>3521</v>
      </c>
      <c r="N14" s="2">
        <v>500</v>
      </c>
      <c r="O14" s="2">
        <v>7741</v>
      </c>
      <c r="P14" s="2">
        <v>36269</v>
      </c>
      <c r="Q14" s="2">
        <f t="shared" si="0"/>
        <v>44010</v>
      </c>
      <c r="R14" s="2">
        <f t="shared" si="1"/>
        <v>7741</v>
      </c>
      <c r="S14" s="2">
        <f t="shared" si="2"/>
        <v>36269</v>
      </c>
    </row>
    <row r="15" spans="1:19" x14ac:dyDescent="0.25">
      <c r="A15" t="s">
        <v>63</v>
      </c>
      <c r="B15" t="s">
        <v>64</v>
      </c>
      <c r="C15" t="s">
        <v>42</v>
      </c>
      <c r="D15" t="s">
        <v>65</v>
      </c>
      <c r="E15" t="s">
        <v>20</v>
      </c>
      <c r="F15" s="2">
        <v>28500</v>
      </c>
      <c r="G15" s="2">
        <v>7125</v>
      </c>
      <c r="H15" s="2">
        <v>2600</v>
      </c>
      <c r="I15" s="2">
        <v>3</v>
      </c>
      <c r="J15" s="2">
        <v>540</v>
      </c>
      <c r="K15" s="2">
        <v>38765</v>
      </c>
      <c r="L15" s="2">
        <v>3420</v>
      </c>
      <c r="M15" s="2">
        <v>3101</v>
      </c>
      <c r="N15" s="2">
        <v>600</v>
      </c>
      <c r="O15" s="2">
        <v>7121</v>
      </c>
      <c r="P15" s="2">
        <v>31644</v>
      </c>
      <c r="Q15" s="2">
        <f t="shared" si="0"/>
        <v>38765</v>
      </c>
      <c r="R15" s="2">
        <f t="shared" si="1"/>
        <v>7121</v>
      </c>
      <c r="S15" s="2">
        <f t="shared" si="2"/>
        <v>31644</v>
      </c>
    </row>
    <row r="16" spans="1:19" x14ac:dyDescent="0.25">
      <c r="A16" t="s">
        <v>66</v>
      </c>
      <c r="B16" t="s">
        <v>67</v>
      </c>
      <c r="C16" t="s">
        <v>18</v>
      </c>
      <c r="D16" t="s">
        <v>68</v>
      </c>
      <c r="E16" t="s">
        <v>20</v>
      </c>
      <c r="F16" s="2">
        <v>27500</v>
      </c>
      <c r="G16" s="2">
        <v>6875</v>
      </c>
      <c r="H16" s="2">
        <v>2200</v>
      </c>
      <c r="I16" s="2">
        <v>6</v>
      </c>
      <c r="J16" s="2">
        <v>1500</v>
      </c>
      <c r="K16" s="2">
        <v>38075</v>
      </c>
      <c r="L16" s="2">
        <v>3300</v>
      </c>
      <c r="M16" s="2">
        <v>3046</v>
      </c>
      <c r="N16" s="2">
        <v>700</v>
      </c>
      <c r="O16" s="2">
        <v>7046</v>
      </c>
      <c r="P16" s="2">
        <v>31029</v>
      </c>
      <c r="Q16" s="2">
        <f t="shared" si="0"/>
        <v>38075</v>
      </c>
      <c r="R16" s="2">
        <f t="shared" si="1"/>
        <v>7046</v>
      </c>
      <c r="S16" s="2">
        <f t="shared" si="2"/>
        <v>31029</v>
      </c>
    </row>
    <row r="17" spans="1:19" x14ac:dyDescent="0.25">
      <c r="A17" t="s">
        <v>69</v>
      </c>
      <c r="B17" t="s">
        <v>70</v>
      </c>
      <c r="C17" t="s">
        <v>27</v>
      </c>
      <c r="D17" t="s">
        <v>71</v>
      </c>
      <c r="E17" t="s">
        <v>20</v>
      </c>
      <c r="F17" s="2">
        <v>26500</v>
      </c>
      <c r="G17" s="2">
        <v>6625</v>
      </c>
      <c r="H17" s="2">
        <v>1800</v>
      </c>
      <c r="I17" s="2">
        <v>2</v>
      </c>
      <c r="J17" s="2">
        <v>360</v>
      </c>
      <c r="K17" s="2">
        <v>35285</v>
      </c>
      <c r="L17" s="2">
        <v>3180</v>
      </c>
      <c r="M17" s="2">
        <v>2823</v>
      </c>
      <c r="N17" s="2">
        <v>800</v>
      </c>
      <c r="O17" s="2">
        <v>6803</v>
      </c>
      <c r="P17" s="2">
        <v>28482</v>
      </c>
      <c r="Q17" s="2">
        <f t="shared" si="0"/>
        <v>35285</v>
      </c>
      <c r="R17" s="2">
        <f t="shared" si="1"/>
        <v>6803</v>
      </c>
      <c r="S17" s="2">
        <f>K17-O17</f>
        <v>28482</v>
      </c>
    </row>
    <row r="18" spans="1:19" x14ac:dyDescent="0.25">
      <c r="A18" t="s">
        <v>72</v>
      </c>
      <c r="B18" t="s">
        <v>73</v>
      </c>
      <c r="C18" t="s">
        <v>35</v>
      </c>
      <c r="D18" t="s">
        <v>74</v>
      </c>
      <c r="E18" t="s">
        <v>20</v>
      </c>
      <c r="F18" s="2">
        <v>24500</v>
      </c>
      <c r="G18" s="2">
        <v>6125</v>
      </c>
      <c r="H18" s="2">
        <v>1700</v>
      </c>
      <c r="I18" s="2">
        <v>5</v>
      </c>
      <c r="J18" s="2">
        <v>900</v>
      </c>
      <c r="K18" s="2">
        <v>33225</v>
      </c>
      <c r="L18" s="2">
        <v>2940</v>
      </c>
      <c r="M18" s="2">
        <v>1661</v>
      </c>
      <c r="N18" s="2">
        <v>500</v>
      </c>
      <c r="O18" s="2">
        <v>5101</v>
      </c>
      <c r="P18" s="2">
        <v>28124</v>
      </c>
      <c r="Q18" s="2">
        <f t="shared" si="0"/>
        <v>33225</v>
      </c>
      <c r="R18" s="2">
        <f t="shared" si="1"/>
        <v>5101</v>
      </c>
      <c r="S18" s="2">
        <f t="shared" si="2"/>
        <v>28124</v>
      </c>
    </row>
    <row r="19" spans="1:19" x14ac:dyDescent="0.25">
      <c r="A19" t="s">
        <v>75</v>
      </c>
      <c r="B19" t="s">
        <v>76</v>
      </c>
      <c r="C19" t="s">
        <v>49</v>
      </c>
      <c r="D19" t="s">
        <v>77</v>
      </c>
      <c r="E19" t="s">
        <v>20</v>
      </c>
      <c r="F19" s="2">
        <v>23000</v>
      </c>
      <c r="G19" s="2">
        <v>5750</v>
      </c>
      <c r="H19" s="2">
        <v>1500</v>
      </c>
      <c r="I19" s="2">
        <v>3</v>
      </c>
      <c r="J19" s="2">
        <v>540</v>
      </c>
      <c r="K19" s="2">
        <v>30790</v>
      </c>
      <c r="L19" s="2">
        <v>2760</v>
      </c>
      <c r="M19" s="2">
        <v>1540</v>
      </c>
      <c r="N19" s="2">
        <v>600</v>
      </c>
      <c r="O19" s="2">
        <v>4900</v>
      </c>
      <c r="P19" s="2">
        <v>25890</v>
      </c>
      <c r="Q19" s="2">
        <f t="shared" si="0"/>
        <v>30790</v>
      </c>
      <c r="R19" s="2">
        <f t="shared" si="1"/>
        <v>4900</v>
      </c>
      <c r="S19" s="2">
        <f t="shared" si="2"/>
        <v>25890</v>
      </c>
    </row>
    <row r="20" spans="1:19" x14ac:dyDescent="0.25">
      <c r="A20" t="s">
        <v>78</v>
      </c>
      <c r="B20" t="s">
        <v>79</v>
      </c>
      <c r="C20" t="s">
        <v>18</v>
      </c>
      <c r="D20" t="s">
        <v>80</v>
      </c>
      <c r="E20" t="s">
        <v>20</v>
      </c>
      <c r="F20" s="2">
        <v>29500</v>
      </c>
      <c r="G20" s="2">
        <v>7375</v>
      </c>
      <c r="H20" s="2">
        <v>2400</v>
      </c>
      <c r="I20" s="2">
        <v>4</v>
      </c>
      <c r="J20" s="2">
        <v>1000</v>
      </c>
      <c r="K20" s="2">
        <v>40275</v>
      </c>
      <c r="L20" s="2">
        <v>3540</v>
      </c>
      <c r="M20" s="2">
        <v>3222</v>
      </c>
      <c r="N20" s="2">
        <v>700</v>
      </c>
      <c r="O20" s="2">
        <v>7462</v>
      </c>
      <c r="P20" s="2">
        <v>32813</v>
      </c>
      <c r="Q20" s="2">
        <f t="shared" si="0"/>
        <v>40275</v>
      </c>
      <c r="R20" s="2">
        <f t="shared" si="1"/>
        <v>7462</v>
      </c>
      <c r="S20" s="2">
        <f t="shared" si="2"/>
        <v>32813</v>
      </c>
    </row>
    <row r="21" spans="1:19" x14ac:dyDescent="0.25">
      <c r="A21" t="s">
        <v>81</v>
      </c>
      <c r="B21" t="s">
        <v>82</v>
      </c>
      <c r="C21" t="s">
        <v>23</v>
      </c>
      <c r="D21" t="s">
        <v>83</v>
      </c>
      <c r="E21" t="s">
        <v>20</v>
      </c>
      <c r="F21" s="2">
        <v>31500</v>
      </c>
      <c r="G21" s="2">
        <v>7875</v>
      </c>
      <c r="H21" s="2">
        <v>2000</v>
      </c>
      <c r="I21" s="2">
        <v>2</v>
      </c>
      <c r="J21" s="2">
        <v>360</v>
      </c>
      <c r="K21" s="2">
        <v>41735</v>
      </c>
      <c r="L21" s="2">
        <v>3780</v>
      </c>
      <c r="M21" s="2">
        <v>3339</v>
      </c>
      <c r="N21" s="2">
        <v>800</v>
      </c>
      <c r="O21" s="2">
        <v>7919</v>
      </c>
      <c r="P21" s="2">
        <v>33816</v>
      </c>
      <c r="Q21" s="2">
        <f t="shared" si="0"/>
        <v>41735</v>
      </c>
      <c r="R21" s="2">
        <f t="shared" si="1"/>
        <v>7919</v>
      </c>
      <c r="S21" s="2">
        <f t="shared" si="2"/>
        <v>33816</v>
      </c>
    </row>
    <row r="22" spans="1:19" x14ac:dyDescent="0.25">
      <c r="A22" t="s">
        <v>84</v>
      </c>
      <c r="B22" t="s">
        <v>85</v>
      </c>
      <c r="C22" t="s">
        <v>31</v>
      </c>
      <c r="D22" t="s">
        <v>86</v>
      </c>
      <c r="E22" t="s">
        <v>20</v>
      </c>
      <c r="F22" s="2">
        <v>27500</v>
      </c>
      <c r="G22" s="2">
        <v>6875</v>
      </c>
      <c r="H22" s="2">
        <v>3200</v>
      </c>
      <c r="I22" s="2">
        <v>9</v>
      </c>
      <c r="J22" s="2">
        <v>1620</v>
      </c>
      <c r="K22" s="2">
        <v>39195</v>
      </c>
      <c r="L22" s="2">
        <v>3300</v>
      </c>
      <c r="M22" s="2">
        <v>3136</v>
      </c>
      <c r="N22" s="2">
        <v>500</v>
      </c>
      <c r="O22" s="2">
        <v>6936</v>
      </c>
      <c r="P22" s="2">
        <v>32259</v>
      </c>
      <c r="Q22" s="2">
        <f t="shared" si="0"/>
        <v>39195</v>
      </c>
      <c r="R22" s="2">
        <f t="shared" si="1"/>
        <v>6936</v>
      </c>
      <c r="S22" s="2">
        <f t="shared" si="2"/>
        <v>32259</v>
      </c>
    </row>
    <row r="23" spans="1:19" x14ac:dyDescent="0.25">
      <c r="A23" t="s">
        <v>87</v>
      </c>
      <c r="B23" t="s">
        <v>88</v>
      </c>
      <c r="C23" t="s">
        <v>42</v>
      </c>
      <c r="D23" t="s">
        <v>89</v>
      </c>
      <c r="E23" t="s">
        <v>20</v>
      </c>
      <c r="F23" s="2">
        <v>26000</v>
      </c>
      <c r="G23" s="2">
        <v>6500</v>
      </c>
      <c r="H23" s="2">
        <v>2300</v>
      </c>
      <c r="I23" s="2">
        <v>1</v>
      </c>
      <c r="J23" s="2">
        <v>180</v>
      </c>
      <c r="K23" s="2">
        <v>34980</v>
      </c>
      <c r="L23" s="2">
        <v>3120</v>
      </c>
      <c r="M23" s="2">
        <v>1749</v>
      </c>
      <c r="N23" s="2">
        <v>600</v>
      </c>
      <c r="O23" s="2">
        <v>5469</v>
      </c>
      <c r="P23" s="2">
        <v>29511</v>
      </c>
      <c r="Q23" s="2">
        <f t="shared" si="0"/>
        <v>34980</v>
      </c>
      <c r="R23" s="2">
        <f t="shared" si="1"/>
        <v>5469</v>
      </c>
      <c r="S23" s="2">
        <f t="shared" si="2"/>
        <v>29511</v>
      </c>
    </row>
    <row r="24" spans="1:19" x14ac:dyDescent="0.25">
      <c r="A24" t="s">
        <v>90</v>
      </c>
      <c r="B24" t="s">
        <v>91</v>
      </c>
      <c r="C24" t="s">
        <v>27</v>
      </c>
      <c r="D24" t="s">
        <v>92</v>
      </c>
      <c r="E24" t="s">
        <v>20</v>
      </c>
      <c r="F24" s="2">
        <v>25000</v>
      </c>
      <c r="G24" s="2">
        <v>6250</v>
      </c>
      <c r="H24" s="2">
        <v>1900</v>
      </c>
      <c r="I24" s="2">
        <v>3</v>
      </c>
      <c r="J24" s="2">
        <v>540</v>
      </c>
      <c r="K24" s="2">
        <v>33690</v>
      </c>
      <c r="L24" s="2">
        <v>3000</v>
      </c>
      <c r="M24" s="2">
        <v>1684</v>
      </c>
      <c r="N24" s="2">
        <v>700</v>
      </c>
      <c r="O24" s="2">
        <v>5384</v>
      </c>
      <c r="P24" s="2">
        <v>28306</v>
      </c>
      <c r="Q24" s="2">
        <f t="shared" si="0"/>
        <v>33690</v>
      </c>
      <c r="R24" s="2">
        <f t="shared" si="1"/>
        <v>5384</v>
      </c>
      <c r="S24" s="2">
        <f t="shared" si="2"/>
        <v>28306</v>
      </c>
    </row>
    <row r="25" spans="1:19" x14ac:dyDescent="0.25">
      <c r="A25" t="s">
        <v>93</v>
      </c>
      <c r="B25" t="s">
        <v>94</v>
      </c>
      <c r="C25" t="s">
        <v>35</v>
      </c>
      <c r="D25" t="s">
        <v>95</v>
      </c>
      <c r="E25" t="s">
        <v>20</v>
      </c>
      <c r="F25" s="2">
        <v>23500</v>
      </c>
      <c r="G25" s="2">
        <v>5875</v>
      </c>
      <c r="H25" s="2">
        <v>1600</v>
      </c>
      <c r="I25" s="2">
        <v>2</v>
      </c>
      <c r="J25" s="2">
        <v>360</v>
      </c>
      <c r="K25" s="2">
        <v>31335</v>
      </c>
      <c r="L25" s="2">
        <v>2820</v>
      </c>
      <c r="M25" s="2">
        <v>1567</v>
      </c>
      <c r="N25" s="2">
        <v>800</v>
      </c>
      <c r="O25" s="2">
        <v>5187</v>
      </c>
      <c r="P25" s="2">
        <v>26148</v>
      </c>
      <c r="Q25" s="2">
        <f t="shared" si="0"/>
        <v>31335</v>
      </c>
      <c r="R25" s="2">
        <f t="shared" si="1"/>
        <v>5187</v>
      </c>
      <c r="S25" s="2">
        <f t="shared" si="2"/>
        <v>26148</v>
      </c>
    </row>
    <row r="26" spans="1:19" x14ac:dyDescent="0.25">
      <c r="A26" t="s">
        <v>96</v>
      </c>
      <c r="B26" t="s">
        <v>97</v>
      </c>
      <c r="C26" t="s">
        <v>18</v>
      </c>
      <c r="D26" t="s">
        <v>98</v>
      </c>
      <c r="E26" t="s">
        <v>20</v>
      </c>
      <c r="F26" s="2">
        <v>33000</v>
      </c>
      <c r="G26" s="2">
        <v>8250</v>
      </c>
      <c r="H26" s="2">
        <v>2500</v>
      </c>
      <c r="I26" s="2">
        <v>5</v>
      </c>
      <c r="J26" s="2">
        <v>1250</v>
      </c>
      <c r="K26" s="2">
        <v>45000</v>
      </c>
      <c r="L26" s="2">
        <v>3960</v>
      </c>
      <c r="M26" s="2">
        <v>3600</v>
      </c>
      <c r="N26" s="2">
        <v>500</v>
      </c>
      <c r="O26" s="2">
        <v>8060</v>
      </c>
      <c r="P26" s="2">
        <v>36940</v>
      </c>
      <c r="Q26" s="2">
        <f t="shared" si="0"/>
        <v>45000</v>
      </c>
      <c r="R26" s="2">
        <f t="shared" si="1"/>
        <v>8060</v>
      </c>
      <c r="S26" s="2">
        <f t="shared" si="2"/>
        <v>36940</v>
      </c>
    </row>
    <row r="27" spans="1:19" x14ac:dyDescent="0.25">
      <c r="A27" t="s">
        <v>99</v>
      </c>
      <c r="B27" t="s">
        <v>100</v>
      </c>
      <c r="C27" t="s">
        <v>49</v>
      </c>
      <c r="D27" t="s">
        <v>101</v>
      </c>
      <c r="E27" t="s">
        <v>20</v>
      </c>
      <c r="F27" s="2">
        <v>24500</v>
      </c>
      <c r="G27" s="2">
        <v>6125</v>
      </c>
      <c r="H27" s="2">
        <v>1700</v>
      </c>
      <c r="I27" s="2">
        <v>4</v>
      </c>
      <c r="J27" s="2">
        <v>720</v>
      </c>
      <c r="K27" s="2">
        <v>33045</v>
      </c>
      <c r="L27" s="2">
        <v>2940</v>
      </c>
      <c r="M27" s="2">
        <v>1652</v>
      </c>
      <c r="N27" s="2">
        <v>600</v>
      </c>
      <c r="O27" s="2">
        <v>5192</v>
      </c>
      <c r="P27" s="2">
        <v>27853</v>
      </c>
      <c r="Q27" s="2">
        <f t="shared" si="0"/>
        <v>33045</v>
      </c>
      <c r="R27" s="2">
        <f t="shared" si="1"/>
        <v>5192</v>
      </c>
      <c r="S27" s="2">
        <f t="shared" si="2"/>
        <v>27853</v>
      </c>
    </row>
    <row r="28" spans="1:19" x14ac:dyDescent="0.25">
      <c r="A28" t="s">
        <v>102</v>
      </c>
      <c r="B28" t="s">
        <v>103</v>
      </c>
      <c r="C28" t="s">
        <v>31</v>
      </c>
      <c r="D28" t="s">
        <v>104</v>
      </c>
      <c r="E28" t="s">
        <v>20</v>
      </c>
      <c r="F28" s="2">
        <v>30000</v>
      </c>
      <c r="G28" s="2">
        <v>7500</v>
      </c>
      <c r="H28" s="2">
        <v>3800</v>
      </c>
      <c r="I28" s="2">
        <v>6</v>
      </c>
      <c r="J28" s="2">
        <v>1080</v>
      </c>
      <c r="K28" s="2">
        <v>42380</v>
      </c>
      <c r="L28" s="2">
        <v>3600</v>
      </c>
      <c r="M28" s="2">
        <v>3390</v>
      </c>
      <c r="N28" s="2">
        <v>700</v>
      </c>
      <c r="O28" s="2">
        <v>7690</v>
      </c>
      <c r="P28" s="2">
        <v>34690</v>
      </c>
      <c r="Q28" s="2">
        <f t="shared" si="0"/>
        <v>42380</v>
      </c>
      <c r="R28" s="2">
        <f>L28+M28+N28</f>
        <v>7690</v>
      </c>
      <c r="S28" s="2">
        <f t="shared" si="2"/>
        <v>34690</v>
      </c>
    </row>
    <row r="29" spans="1:19" x14ac:dyDescent="0.25">
      <c r="A29" t="s">
        <v>105</v>
      </c>
      <c r="B29" t="s">
        <v>106</v>
      </c>
      <c r="C29" t="s">
        <v>42</v>
      </c>
      <c r="D29" t="s">
        <v>107</v>
      </c>
      <c r="E29" t="s">
        <v>20</v>
      </c>
      <c r="F29" s="2">
        <v>30500</v>
      </c>
      <c r="G29" s="2">
        <v>7625</v>
      </c>
      <c r="H29" s="2">
        <v>2700</v>
      </c>
      <c r="I29" s="2">
        <v>2</v>
      </c>
      <c r="J29" s="2">
        <v>360</v>
      </c>
      <c r="K29" s="2">
        <v>41185</v>
      </c>
      <c r="L29" s="2">
        <v>3660</v>
      </c>
      <c r="M29" s="2">
        <v>3295</v>
      </c>
      <c r="N29" s="2">
        <v>800</v>
      </c>
      <c r="O29" s="2">
        <v>7755</v>
      </c>
      <c r="P29" s="2">
        <v>33430</v>
      </c>
      <c r="Q29" s="2">
        <f t="shared" si="0"/>
        <v>41185</v>
      </c>
      <c r="R29" s="2">
        <f t="shared" si="1"/>
        <v>7755</v>
      </c>
      <c r="S29" s="2">
        <f t="shared" si="2"/>
        <v>33430</v>
      </c>
    </row>
    <row r="30" spans="1:19" x14ac:dyDescent="0.25">
      <c r="A30" t="s">
        <v>108</v>
      </c>
      <c r="B30" t="s">
        <v>109</v>
      </c>
      <c r="C30" t="s">
        <v>27</v>
      </c>
      <c r="D30" t="s">
        <v>110</v>
      </c>
      <c r="E30" t="s">
        <v>20</v>
      </c>
      <c r="F30" s="2">
        <v>28000</v>
      </c>
      <c r="G30" s="2">
        <v>7000</v>
      </c>
      <c r="H30" s="2">
        <v>2100</v>
      </c>
      <c r="I30" s="2">
        <v>4</v>
      </c>
      <c r="J30" s="2">
        <v>720</v>
      </c>
      <c r="K30" s="2">
        <v>37820</v>
      </c>
      <c r="L30" s="2">
        <v>3360</v>
      </c>
      <c r="M30" s="2">
        <v>3026</v>
      </c>
      <c r="N30" s="2">
        <v>500</v>
      </c>
      <c r="O30" s="2">
        <v>6886</v>
      </c>
      <c r="P30" s="2">
        <v>30934</v>
      </c>
      <c r="Q30" s="2">
        <f t="shared" si="0"/>
        <v>37820</v>
      </c>
      <c r="R30" s="2">
        <f t="shared" si="1"/>
        <v>6886</v>
      </c>
      <c r="S30" s="2">
        <f t="shared" si="2"/>
        <v>30934</v>
      </c>
    </row>
    <row r="31" spans="1:19" x14ac:dyDescent="0.25">
      <c r="A31" t="s">
        <v>111</v>
      </c>
      <c r="B31" t="s">
        <v>112</v>
      </c>
      <c r="C31" t="s">
        <v>35</v>
      </c>
      <c r="D31" t="s">
        <v>113</v>
      </c>
      <c r="E31" t="s">
        <v>20</v>
      </c>
      <c r="F31" s="2">
        <v>27000</v>
      </c>
      <c r="G31" s="2">
        <v>6750</v>
      </c>
      <c r="H31" s="2">
        <v>1900</v>
      </c>
      <c r="I31" s="2">
        <v>3</v>
      </c>
      <c r="J31" s="2">
        <v>540</v>
      </c>
      <c r="K31" s="2">
        <v>36190</v>
      </c>
      <c r="L31" s="2">
        <v>3240</v>
      </c>
      <c r="M31" s="2">
        <v>2895</v>
      </c>
      <c r="N31" s="2">
        <v>600</v>
      </c>
      <c r="O31" s="2">
        <v>6735</v>
      </c>
      <c r="P31" s="2">
        <v>29455</v>
      </c>
      <c r="Q31" s="2">
        <f t="shared" si="0"/>
        <v>36190</v>
      </c>
      <c r="R31" s="2">
        <f t="shared" si="1"/>
        <v>6735</v>
      </c>
      <c r="S31" s="2">
        <f t="shared" si="2"/>
        <v>29455</v>
      </c>
    </row>
  </sheetData>
  <autoFilter ref="A1:P31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Overtime_Analysis</vt:lpstr>
      <vt:lpstr>Net_Salary_Analysis</vt:lpstr>
      <vt:lpstr>Department_Analysis1</vt:lpstr>
      <vt:lpstr>Average_Salary</vt:lpstr>
      <vt:lpstr>Payroll_Data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</cp:lastModifiedBy>
  <dcterms:created xsi:type="dcterms:W3CDTF">2026-10-24T13:12:37Z</dcterms:created>
  <dcterms:modified xsi:type="dcterms:W3CDTF">2026-10-24T15:16:33Z</dcterms:modified>
</cp:coreProperties>
</file>